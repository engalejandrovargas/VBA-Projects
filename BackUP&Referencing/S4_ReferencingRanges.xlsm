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net\Downloads\"/>
    </mc:Choice>
  </mc:AlternateContent>
  <bookViews>
    <workbookView xWindow="0" yWindow="0" windowWidth="28800" windowHeight="12330" tabRatio="682" firstSheet="2" activeTab="5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5" l="1"/>
  <c r="N9" i="5"/>
  <c r="L8" i="5"/>
  <c r="N8" i="5" s="1"/>
  <c r="N7" i="5"/>
  <c r="N6" i="5"/>
  <c r="N5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>
  <authors>
    <author>Leila Gharani</author>
  </authors>
  <commentList>
    <comment ref="A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<sst xmlns="http://schemas.openxmlformats.org/spreadsheetml/2006/main" count="264" uniqueCount="120">
  <si>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</si>
  <si>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</si>
  <si>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</si>
  <si>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</si>
  <si>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</si>
  <si>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</si>
  <si>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</si>
  <si>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</si>
  <si>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</si>
  <si>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</si>
  <si>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</si>
  <si>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</si>
  <si>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</si>
  <si>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</si>
  <si>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</si>
  <si>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</si>
  <si>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</si>
  <si>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</si>
  <si>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</si>
  <si>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</si>
  <si>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</si>
  <si>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</si>
  <si>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</si>
  <si>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</si>
  <si>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</si>
  <si>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</si>
  <si>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</si>
  <si>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</si>
  <si>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</si>
  <si>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</si>
  <si>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</si>
  <si>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</si>
  <si>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</si>
  <si>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</si>
  <si>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</si>
  <si>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</si>
  <si>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</si>
  <si>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</si>
  <si>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</si>
  <si>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</si>
  <si>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</si>
  <si>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</si>
  <si>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</si>
  <si>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</si>
  <si>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</si>
  <si>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</si>
  <si>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</si>
  <si>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</si>
  <si>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</si>
  <si>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</si>
  <si>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</si>
  <si>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</si>
  <si>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</si>
  <si>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</si>
  <si>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</si>
  <si>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</si>
  <si>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</si>
  <si>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</si>
  <si>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</si>
  <si>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</si>
  <si>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</si>
  <si>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</si>
  <si>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$A$4:$F$30</t>
  </si>
  <si>
    <t># of rows in data set:</t>
  </si>
  <si>
    <t>Last column #:</t>
  </si>
  <si>
    <t>last used row on sheet:</t>
  </si>
  <si>
    <t>Last used row method 2:</t>
  </si>
  <si>
    <t>Macro Name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</si>
  <si>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</si>
  <si>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</si>
  <si>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</si>
  <si>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</si>
  <si>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</si>
  <si>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</si>
  <si>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</si>
  <si>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</si>
  <si>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</si>
  <si>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</si>
  <si>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</si>
  <si>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</si>
  <si>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</si>
  <si>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</si>
  <si>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</si>
  <si>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</si>
  <si>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</si>
  <si>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</si>
  <si>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</si>
  <si>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</si>
  <si>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</si>
  <si>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</si>
  <si>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</si>
  <si>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</si>
  <si>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</si>
  <si>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</si>
  <si>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</si>
  <si>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</si>
  <si>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</si>
  <si>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</si>
  <si>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</si>
  <si>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</si>
  <si>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ReferToCells ()</t>
  </si>
  <si>
    <t>Range_Property_Method_Examples ()</t>
  </si>
  <si>
    <t>Range_LastRow ()</t>
  </si>
  <si>
    <t>Copy_Resize_Ranges ()</t>
  </si>
  <si>
    <t>Reference_Workbook ()</t>
  </si>
  <si>
    <t>Link</t>
  </si>
  <si>
    <t>Topic Covered</t>
  </si>
  <si>
    <t>What you Learn</t>
  </si>
  <si>
    <t>Answer in Module "ProjectActivity"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</si>
  <si>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</si>
  <si>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</si>
  <si>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</si>
  <si>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</si>
  <si>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</si>
  <si>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</si>
  <si>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Reference_Worksheet ()</t>
  </si>
  <si>
    <t>▪ Use sheet code names to reference the right sheet
▪ Use sheet names to reference the right sheet</t>
  </si>
  <si>
    <t>Workbook</t>
  </si>
  <si>
    <t>Answer is included in this workbook in Module "ProjectActivity"</t>
  </si>
  <si>
    <t>Project: Create a hard-coded Copy of this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</si>
</sst>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5" borderId="0" xfId="0" applyFill="1"/>
    <xf numFmtId="0" fontId="0" fillId="0" borderId="0" xfId="0" applyAlignment="1">
      <alignment horizontal="right"/>
    </xf>
    <xf numFmtId="3" fontId="0" fillId="6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7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Fill="1" applyAlignment="1">
      <alignment horizontal="right"/>
    </xf>
    <xf numFmtId="164" fontId="0" fillId="5" borderId="0" xfId="1" applyNumberFormat="1" applyFont="1" applyFill="1"/>
    <xf numFmtId="164" fontId="0" fillId="5" borderId="0" xfId="0" applyNumberFormat="1" applyFill="1"/>
    <xf numFmtId="3" fontId="0" fillId="0" borderId="0" xfId="0" applyNumberFormat="1" applyFill="1" applyBorder="1" applyAlignment="1">
      <alignment horizontal="right"/>
    </xf>
    <xf numFmtId="9" fontId="0" fillId="0" borderId="0" xfId="0" applyNumberFormat="1"/>
  </cellXfs>
  <cellStyles count="4">
    <cellStyle name="Comma 2" xfId="1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161925</xdr:colOff>
      <xdr:row>13</xdr:row>
      <xdr:rowOff>23813</xdr:rowOff>
    </xdr:from>
    <xdr:to>
      <xdr:col>7</xdr:col>
      <xdr:colOff>1773074</xdr:colOff>
      <xdr:row>13</xdr:row>
      <xdr:rowOff>172932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01691C-A850-476F-BE34-EED1419C5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04361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42863</xdr:colOff>
      <xdr:row>1</xdr:row>
      <xdr:rowOff>9525</xdr:rowOff>
    </xdr:from>
    <xdr:to>
      <xdr:col>13</xdr:col>
      <xdr:colOff>142875</xdr:colOff>
      <xdr:row>5</xdr:row>
      <xdr:rowOff>76200</xdr:rowOff>
    </xdr:to>
    <xdr:sp macro="[0]!ReferToCell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862638" y="200025"/>
          <a:ext cx="1928812" cy="819150"/>
        </a:xfrm>
        <a:prstGeom prst="wedgeRectCallout">
          <a:avLst>
            <a:gd name="adj1" fmla="val -14793"/>
            <a:gd name="adj2" fmla="val 6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</a:t>
          </a:r>
          <a:r>
            <a:rPr lang="en-US" sz="1100" baseline="0"/>
            <a:t>ToCells" sub procedure shows different methods to referencing cells (Click me)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3</xdr:row>
      <xdr:rowOff>0</xdr:rowOff>
    </xdr:from>
    <xdr:to>
      <xdr:col>7</xdr:col>
      <xdr:colOff>266700</xdr:colOff>
      <xdr:row>6</xdr:row>
      <xdr:rowOff>152400</xdr:rowOff>
    </xdr:to>
    <xdr:sp macro="[0]!Range_Property_Method_Examples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6000" y="542925"/>
          <a:ext cx="2514600" cy="695325"/>
        </a:xfrm>
        <a:prstGeom prst="wedgeRectCallout">
          <a:avLst>
            <a:gd name="adj1" fmla="val -75503"/>
            <a:gd name="adj2" fmla="val 1195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"Range_Property_Method_Examples" Macro to demonstrate property</a:t>
          </a:r>
          <a:r>
            <a:rPr lang="en-US" sz="1100" baseline="0"/>
            <a:t> &amp; method usage. Click me.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500063</xdr:colOff>
      <xdr:row>0</xdr:row>
      <xdr:rowOff>138113</xdr:rowOff>
    </xdr:from>
    <xdr:to>
      <xdr:col>10</xdr:col>
      <xdr:colOff>514350</xdr:colOff>
      <xdr:row>3</xdr:row>
      <xdr:rowOff>228600</xdr:rowOff>
    </xdr:to>
    <xdr:sp macro="[0]!Range_LastRow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29151" y="138113"/>
          <a:ext cx="2605087" cy="728662"/>
        </a:xfrm>
        <a:prstGeom prst="wedgeRectCallout">
          <a:avLst>
            <a:gd name="adj1" fmla="val -14793"/>
            <a:gd name="adj2" fmla="val 6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"Range_LastRow</a:t>
          </a:r>
          <a:r>
            <a:rPr lang="en-US" sz="1100" baseline="0"/>
            <a:t>" sub procedure shows different methods of finding the last row. Click me.</a:t>
          </a:r>
          <a:endParaRPr lang="en-US" sz="1100"/>
        </a:p>
      </xdr:txBody>
    </xdr:sp>
    <xdr:clientData/>
  </xdr:twoCellAnchor>
  <xdr:twoCellAnchor>
    <xdr:from>
      <xdr:col>7</xdr:col>
      <xdr:colOff>485775</xdr:colOff>
      <xdr:row>13</xdr:row>
      <xdr:rowOff>138113</xdr:rowOff>
    </xdr:from>
    <xdr:to>
      <xdr:col>12</xdr:col>
      <xdr:colOff>228600</xdr:colOff>
      <xdr:row>19</xdr:row>
      <xdr:rowOff>90488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262563" y="2767013"/>
          <a:ext cx="2981325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4</xdr:row>
      <xdr:rowOff>47625</xdr:rowOff>
    </xdr:to>
    <xdr:sp macro="[0]!Copy_Resize_Range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10477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"Copy_Resize_Ranges</a:t>
          </a:r>
          <a:r>
            <a:rPr lang="en-US" sz="1100" baseline="0"/>
            <a:t>" sub procedure shows different methods of copying and pasting data as well as resizing ranges before copying them. (Click me)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538163</xdr:colOff>
      <xdr:row>2</xdr:row>
      <xdr:rowOff>57150</xdr:rowOff>
    </xdr:from>
    <xdr:to>
      <xdr:col>9</xdr:col>
      <xdr:colOff>71438</xdr:colOff>
      <xdr:row>8</xdr:row>
      <xdr:rowOff>0</xdr:rowOff>
    </xdr:to>
    <xdr:sp macro="[0]!Reference_Worksheet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AE82D567-BEAC-43CB-9552-190E4E021698}"/>
            </a:ext>
          </a:extLst>
        </xdr:cNvPr>
        <xdr:cNvSpPr/>
      </xdr:nvSpPr>
      <xdr:spPr>
        <a:xfrm>
          <a:off x="3776663" y="466725"/>
          <a:ext cx="2124075" cy="1028700"/>
        </a:xfrm>
        <a:prstGeom prst="wedgeRectCallout">
          <a:avLst>
            <a:gd name="adj1" fmla="val -58315"/>
            <a:gd name="adj2" fmla="val 133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"Reference_Worksheet</a:t>
          </a:r>
          <a:r>
            <a:rPr lang="en-US" sz="1100" baseline="0"/>
            <a:t>" sub procedure shows different methods of referencing Worksheets. (Click me)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423861</xdr:colOff>
      <xdr:row>0</xdr:row>
      <xdr:rowOff>109538</xdr:rowOff>
    </xdr:from>
    <xdr:to>
      <xdr:col>11</xdr:col>
      <xdr:colOff>157162</xdr:colOff>
      <xdr:row>4</xdr:row>
      <xdr:rowOff>100013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957761" y="109538"/>
          <a:ext cx="2324101" cy="762000"/>
        </a:xfrm>
        <a:prstGeom prst="wedgeRectCallout">
          <a:avLst>
            <a:gd name="adj1" fmla="val -70891"/>
            <a:gd name="adj2" fmla="val -5661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"Reference_Workbook</a:t>
          </a:r>
          <a:r>
            <a:rPr lang="en-US" sz="1100" baseline="0"/>
            <a:t>"  procedure shows how you can reference another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23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1" customWidth="1"/>
    <col min="5" max="5" width="1" customWidth="1"/>
    <col min="6" max="6" width="51.7109375" customWidth="1"/>
    <col min="7" max="7" width="2" customWidth="1"/>
    <col min="8" max="8" width="30.85546875" bestFit="1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x14ac:dyDescent="0.25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25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25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25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.75" x14ac:dyDescent="0.3">
      <c r="A5" s="1"/>
      <c r="B5" s="22"/>
      <c r="C5" s="2" t="s">
        <v>105</v>
      </c>
      <c r="D5" s="39" t="s">
        <v>106</v>
      </c>
      <c r="E5" s="22"/>
      <c r="F5" s="2" t="s">
        <v>107</v>
      </c>
      <c r="G5" s="2"/>
      <c r="H5" s="2" t="s">
        <v>67</v>
      </c>
      <c r="I5" s="22"/>
      <c r="J5" s="22"/>
      <c r="K5" s="1"/>
      <c r="L5" s="1"/>
    </row>
    <row r="6" spans="1:12" s="27" customFormat="1" ht="18.75" x14ac:dyDescent="0.3">
      <c r="A6" s="24"/>
      <c r="B6" s="25"/>
      <c r="C6" s="26"/>
      <c r="D6" s="40"/>
      <c r="E6" s="25"/>
      <c r="F6" s="26"/>
      <c r="G6" s="26"/>
      <c r="H6" s="26"/>
      <c r="I6" s="25"/>
      <c r="J6" s="25"/>
      <c r="K6" s="1"/>
      <c r="L6" s="24"/>
    </row>
    <row r="7" spans="1:12" s="33" customFormat="1" ht="105" x14ac:dyDescent="0.25">
      <c r="A7" s="28"/>
      <c r="B7" s="29"/>
      <c r="C7" s="30" t="s">
        <v>68</v>
      </c>
      <c r="D7" s="41" t="s">
        <v>45</v>
      </c>
      <c r="E7" s="29"/>
      <c r="F7" s="31" t="s">
        <v>95</v>
      </c>
      <c r="G7" s="31"/>
      <c r="H7" s="32" t="s">
        <v>100</v>
      </c>
      <c r="I7" s="29"/>
      <c r="J7" s="29"/>
      <c r="K7" s="1"/>
      <c r="L7" s="28"/>
    </row>
    <row r="8" spans="1:12" s="33" customFormat="1" ht="45" x14ac:dyDescent="0.25">
      <c r="A8" s="28"/>
      <c r="B8" s="34"/>
      <c r="C8" s="35" t="s">
        <v>69</v>
      </c>
      <c r="D8" s="42" t="s">
        <v>60</v>
      </c>
      <c r="E8" s="34"/>
      <c r="F8" s="36" t="s">
        <v>96</v>
      </c>
      <c r="G8" s="36"/>
      <c r="H8" s="37" t="s">
        <v>101</v>
      </c>
      <c r="I8" s="34"/>
      <c r="J8" s="34"/>
      <c r="K8" s="1"/>
      <c r="L8" s="28"/>
    </row>
    <row r="9" spans="1:12" s="33" customFormat="1" ht="75" x14ac:dyDescent="0.25">
      <c r="A9" s="28"/>
      <c r="B9" s="34"/>
      <c r="C9" s="35" t="s">
        <v>70</v>
      </c>
      <c r="D9" s="42" t="s">
        <v>71</v>
      </c>
      <c r="E9" s="34"/>
      <c r="F9" s="36" t="s">
        <v>97</v>
      </c>
      <c r="G9" s="36"/>
      <c r="H9" s="37" t="s">
        <v>102</v>
      </c>
      <c r="I9" s="34"/>
      <c r="J9" s="34"/>
      <c r="K9" s="1"/>
      <c r="L9" s="28"/>
    </row>
    <row r="10" spans="1:12" s="33" customFormat="1" ht="60" x14ac:dyDescent="0.25">
      <c r="A10" s="28"/>
      <c r="B10" s="34"/>
      <c r="C10" s="35" t="s">
        <v>79</v>
      </c>
      <c r="D10" s="42" t="s">
        <v>78</v>
      </c>
      <c r="E10" s="34"/>
      <c r="F10" s="36" t="s">
        <v>98</v>
      </c>
      <c r="G10" s="36"/>
      <c r="H10" s="37" t="s">
        <v>103</v>
      </c>
      <c r="I10" s="34"/>
      <c r="J10" s="34"/>
      <c r="K10" s="1"/>
      <c r="L10" s="28"/>
    </row>
    <row r="11" spans="1:12" s="33" customFormat="1" ht="31.5" x14ac:dyDescent="0.25">
      <c r="A11" s="28"/>
      <c r="B11" s="34"/>
      <c r="C11" s="35" t="s">
        <v>114</v>
      </c>
      <c r="D11" s="42" t="s">
        <v>80</v>
      </c>
      <c r="E11" s="34"/>
      <c r="F11" s="36" t="s">
        <v>116</v>
      </c>
      <c r="G11" s="36"/>
      <c r="H11" s="37" t="s">
        <v>115</v>
      </c>
      <c r="I11" s="34"/>
      <c r="J11" s="34"/>
      <c r="K11" s="1"/>
      <c r="L11" s="28"/>
    </row>
    <row r="12" spans="1:12" s="33" customFormat="1" ht="45" x14ac:dyDescent="0.25">
      <c r="A12" s="28"/>
      <c r="B12" s="34"/>
      <c r="C12" s="35" t="s">
        <v>117</v>
      </c>
      <c r="D12" s="42" t="s">
        <v>110</v>
      </c>
      <c r="E12" s="34"/>
      <c r="F12" s="36" t="s">
        <v>99</v>
      </c>
      <c r="G12" s="36"/>
      <c r="H12" s="37" t="s">
        <v>104</v>
      </c>
      <c r="I12" s="34"/>
      <c r="J12" s="34"/>
      <c r="K12" s="1"/>
      <c r="L12" s="28"/>
    </row>
    <row r="13" spans="1:12" s="33" customFormat="1" ht="47.25" x14ac:dyDescent="0.25">
      <c r="A13" s="28"/>
      <c r="B13" s="34"/>
      <c r="C13" s="35" t="s">
        <v>94</v>
      </c>
      <c r="D13" s="42" t="s">
        <v>109</v>
      </c>
      <c r="E13" s="34"/>
      <c r="F13" s="37" t="s">
        <v>93</v>
      </c>
      <c r="G13" s="37"/>
      <c r="H13" s="34" t="s">
        <v>108</v>
      </c>
      <c r="I13" s="34"/>
      <c r="J13" s="34"/>
      <c r="K13" s="1"/>
      <c r="L13" s="28"/>
    </row>
    <row r="14" spans="1:12" s="33" customFormat="1" x14ac:dyDescent="0.25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25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25">
      <c r="A16" s="28"/>
      <c r="B16" s="34"/>
      <c r="C16" s="34"/>
      <c r="D16" s="43"/>
      <c r="E16" s="34"/>
      <c r="F16" s="34"/>
      <c r="G16" s="34"/>
      <c r="H16" s="34"/>
      <c r="I16" s="34"/>
      <c r="J16" s="34"/>
      <c r="K16" s="1"/>
      <c r="L16" s="28"/>
    </row>
    <row r="17" spans="1:12" s="33" customFormat="1" x14ac:dyDescent="0.25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1"/>
      <c r="L17" s="28"/>
    </row>
    <row r="18" spans="1:12" x14ac:dyDescent="0.25">
      <c r="A18" s="28"/>
      <c r="B18" s="28"/>
      <c r="C18" s="28"/>
      <c r="D18" s="44"/>
      <c r="E18" s="28"/>
      <c r="F18" s="28"/>
      <c r="G18" s="28"/>
      <c r="H18" s="28"/>
      <c r="I18" s="28"/>
      <c r="J18" s="28"/>
      <c r="K18" s="28"/>
      <c r="L18" s="28"/>
    </row>
    <row r="19" spans="1:12" hidden="1" x14ac:dyDescent="0.25"/>
    <row r="20" spans="1:12" hidden="1" x14ac:dyDescent="0.25"/>
    <row r="21" spans="1:12" hidden="1" x14ac:dyDescent="0.25"/>
    <row r="22" spans="1:12" hidden="1" x14ac:dyDescent="0.25"/>
    <row r="23" spans="1:12" hidden="1" x14ac:dyDescent="0.25"/>
  </sheetData>
  <hyperlinks>
    <hyperlink ref="C7" location="'Referencing Cells'!A1" display="Referencing Cells"/>
    <hyperlink ref="C8" location="'Example_P_M'!A1" display="Example_P_M"/>
    <hyperlink ref="C9" location="'Range_Reference'!A1" display="Range_Reference"/>
    <hyperlink ref="C10" location="'Copy_Resize'!A1" display="Copy_Resize"/>
    <hyperlink ref="C11" location="Worksheet!A1" display="Worksheet"/>
    <hyperlink ref="C13" location="'Activity'!A1" display="Activity"/>
    <hyperlink ref="C12" location="Workbook!A1" display="Workbook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20"/>
  <sheetViews>
    <sheetView workbookViewId="0">
      <selection activeCell="C5" sqref="C5"/>
    </sheetView>
  </sheetViews>
  <sheetFormatPr defaultRowHeight="15" x14ac:dyDescent="0.25"/>
  <cols>
    <col min="1" max="3" width="5.5703125" customWidth="1"/>
    <col min="4" max="4" width="9" customWidth="1"/>
    <col min="5" max="6" width="10.5703125" customWidth="1"/>
    <col min="8" max="8" width="10.5703125" customWidth="1"/>
    <col min="10" max="10" width="10.5703125" customWidth="1"/>
  </cols>
  <sheetData>
    <row r="1" spans="1:6" ht="15" customHeight="1" x14ac:dyDescent="0.25">
      <c r="A1" t="s">
        <v>46</v>
      </c>
    </row>
    <row r="2" spans="1:6" ht="13.9" customHeight="1" x14ac:dyDescent="0.25">
      <c r="A2" t="s">
        <v>47</v>
      </c>
      <c r="B2" t="s">
        <v>47</v>
      </c>
      <c r="C2" t="s">
        <v>47</v>
      </c>
    </row>
    <row r="3" spans="1:6" ht="15.75" customHeight="1" x14ac:dyDescent="0.25">
      <c r="A3" t="s">
        <v>48</v>
      </c>
      <c r="B3" t="s">
        <v>48</v>
      </c>
      <c r="C3" t="s">
        <v>48</v>
      </c>
      <c r="E3" t="s">
        <v>48</v>
      </c>
      <c r="F3" t="s">
        <v>48</v>
      </c>
    </row>
    <row r="4" spans="1:6" x14ac:dyDescent="0.25">
      <c r="A4" t="s">
        <v>49</v>
      </c>
      <c r="C4" t="s">
        <v>49</v>
      </c>
    </row>
    <row r="5" spans="1:6" x14ac:dyDescent="0.25">
      <c r="A5" t="s">
        <v>50</v>
      </c>
      <c r="B5" t="s">
        <v>50</v>
      </c>
      <c r="C5" t="s">
        <v>50</v>
      </c>
    </row>
    <row r="6" spans="1:6" x14ac:dyDescent="0.25">
      <c r="A6" t="s">
        <v>51</v>
      </c>
      <c r="B6" t="s">
        <v>51</v>
      </c>
      <c r="C6" t="s">
        <v>51</v>
      </c>
    </row>
    <row r="7" spans="1:6" x14ac:dyDescent="0.25">
      <c r="B7" t="s">
        <v>52</v>
      </c>
    </row>
    <row r="8" spans="1:6" x14ac:dyDescent="0.25">
      <c r="C8" t="s">
        <v>53</v>
      </c>
    </row>
    <row r="9" spans="1:6" x14ac:dyDescent="0.25">
      <c r="B9" t="s">
        <v>54</v>
      </c>
      <c r="C9" t="s">
        <v>54</v>
      </c>
    </row>
    <row r="10" spans="1:6" x14ac:dyDescent="0.25">
      <c r="A10" t="s">
        <v>55</v>
      </c>
    </row>
    <row r="12" spans="1:6" ht="30" customHeight="1" x14ac:dyDescent="0.25"/>
    <row r="13" spans="1:6" ht="30" customHeight="1" x14ac:dyDescent="0.25"/>
    <row r="14" spans="1:6" ht="30" customHeight="1" x14ac:dyDescent="0.25"/>
    <row r="16" spans="1:6" ht="30" customHeight="1" x14ac:dyDescent="0.25"/>
    <row r="18" ht="30" customHeight="1" x14ac:dyDescent="0.25"/>
    <row r="20" ht="30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F7"/>
  <sheetViews>
    <sheetView workbookViewId="0">
      <selection activeCell="B7" sqref="B7"/>
    </sheetView>
  </sheetViews>
  <sheetFormatPr defaultRowHeight="15" x14ac:dyDescent="0.25"/>
  <cols>
    <col min="1" max="1" width="19.28515625" customWidth="1"/>
    <col min="2" max="2" width="10" customWidth="1"/>
  </cols>
  <sheetData>
    <row r="1" spans="1:6" ht="24.75" customHeight="1" x14ac:dyDescent="0.3">
      <c r="A1" s="7" t="s">
        <v>60</v>
      </c>
      <c r="B1" s="7"/>
      <c r="C1" s="7"/>
      <c r="D1" s="7"/>
      <c r="E1" s="7"/>
      <c r="F1" s="7"/>
    </row>
    <row r="2" spans="1:6" ht="10.5" customHeight="1" x14ac:dyDescent="0.25"/>
    <row r="3" spans="1:6" ht="10.5" customHeight="1" x14ac:dyDescent="0.25"/>
    <row r="4" spans="1:6" ht="10.5" customHeight="1" x14ac:dyDescent="0.25"/>
    <row r="5" spans="1:6" x14ac:dyDescent="0.25">
      <c r="A5" t="s">
        <v>57</v>
      </c>
      <c r="B5" s="4">
        <v>10200</v>
      </c>
    </row>
    <row r="6" spans="1:6" x14ac:dyDescent="0.25">
      <c r="A6" t="s">
        <v>58</v>
      </c>
      <c r="B6" s="14"/>
    </row>
    <row r="7" spans="1:6" x14ac:dyDescent="0.25">
      <c r="A7" t="s">
        <v>59</v>
      </c>
      <c r="B7" s="14">
        <v>10200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K30"/>
  <sheetViews>
    <sheetView workbookViewId="0">
      <selection activeCell="E9" sqref="E9"/>
    </sheetView>
  </sheetViews>
  <sheetFormatPr defaultRowHeight="15" x14ac:dyDescent="0.25"/>
  <cols>
    <col min="1" max="1" width="11.28515625" customWidth="1"/>
    <col min="2" max="2" width="10.28515625" customWidth="1"/>
    <col min="11" max="11" width="12.28515625" customWidth="1"/>
  </cols>
  <sheetData>
    <row r="1" spans="1:11" ht="24.75" customHeight="1" x14ac:dyDescent="0.3">
      <c r="A1" s="7" t="s">
        <v>71</v>
      </c>
      <c r="B1" s="7"/>
      <c r="C1" s="7"/>
      <c r="D1" s="7"/>
      <c r="E1" s="7"/>
      <c r="F1" s="7"/>
    </row>
    <row r="2" spans="1:11" ht="12.75" customHeight="1" x14ac:dyDescent="0.25"/>
    <row r="3" spans="1:11" ht="12.75" customHeight="1" x14ac:dyDescent="0.25"/>
    <row r="4" spans="1:11" ht="30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s="10" customFormat="1" x14ac:dyDescent="0.25">
      <c r="A5" s="10" t="s">
        <v>4</v>
      </c>
      <c r="B5" s="10" t="s">
        <v>5</v>
      </c>
      <c r="C5" s="10" t="s">
        <v>6</v>
      </c>
      <c r="D5" s="10" t="s">
        <v>43</v>
      </c>
      <c r="E5" s="9">
        <v>10200</v>
      </c>
      <c r="F5" s="11">
        <v>10404</v>
      </c>
      <c r="J5" s="45"/>
    </row>
    <row r="6" spans="1:11" s="10" customFormat="1" x14ac:dyDescent="0.25">
      <c r="A6" s="10" t="s">
        <v>7</v>
      </c>
      <c r="B6" s="10" t="s">
        <v>5</v>
      </c>
      <c r="C6" s="10" t="s">
        <v>6</v>
      </c>
      <c r="D6" s="10" t="s">
        <v>44</v>
      </c>
      <c r="E6" s="9">
        <v>12240</v>
      </c>
      <c r="F6" s="11">
        <v>12484.800000000001</v>
      </c>
      <c r="J6" s="45" t="s">
        <v>56</v>
      </c>
      <c r="K6" s="48">
        <v>30</v>
      </c>
    </row>
    <row r="7" spans="1:11" s="10" customFormat="1" x14ac:dyDescent="0.25">
      <c r="A7" s="10" t="s">
        <v>8</v>
      </c>
      <c r="B7" s="10" t="s">
        <v>5</v>
      </c>
      <c r="C7" s="10" t="s">
        <v>6</v>
      </c>
      <c r="D7" s="10" t="s">
        <v>44</v>
      </c>
      <c r="E7" s="9">
        <v>14688</v>
      </c>
      <c r="F7" s="11">
        <v>14981.76</v>
      </c>
      <c r="J7" s="45" t="s">
        <v>61</v>
      </c>
      <c r="K7" s="48">
        <v>31</v>
      </c>
    </row>
    <row r="8" spans="1:11" s="10" customFormat="1" x14ac:dyDescent="0.25">
      <c r="A8" s="10" t="s">
        <v>9</v>
      </c>
      <c r="B8" s="10" t="s">
        <v>5</v>
      </c>
      <c r="C8" s="10" t="s">
        <v>6</v>
      </c>
      <c r="D8" s="10" t="s">
        <v>44</v>
      </c>
      <c r="E8" s="9">
        <f>F8*1.1</f>
        <v>19775.923199999997</v>
      </c>
      <c r="F8" s="11">
        <v>17978.111999999997</v>
      </c>
      <c r="J8" s="45" t="s">
        <v>64</v>
      </c>
      <c r="K8" s="48">
        <v>6</v>
      </c>
    </row>
    <row r="9" spans="1:11" s="10" customFormat="1" x14ac:dyDescent="0.25">
      <c r="A9" s="10" t="s">
        <v>10</v>
      </c>
      <c r="B9" s="10" t="s">
        <v>11</v>
      </c>
      <c r="C9" s="10" t="s">
        <v>6</v>
      </c>
      <c r="D9" s="10" t="s">
        <v>43</v>
      </c>
      <c r="E9" s="9">
        <v>10300</v>
      </c>
      <c r="F9" s="11">
        <v>10506</v>
      </c>
      <c r="J9" s="45" t="s">
        <v>72</v>
      </c>
      <c r="K9" s="48" t="s">
        <v>62</v>
      </c>
    </row>
    <row r="10" spans="1:11" s="10" customFormat="1" x14ac:dyDescent="0.25">
      <c r="A10" s="10" t="s">
        <v>12</v>
      </c>
      <c r="B10" s="10" t="s">
        <v>11</v>
      </c>
      <c r="C10" s="10" t="s">
        <v>6</v>
      </c>
      <c r="D10" s="10" t="s">
        <v>43</v>
      </c>
      <c r="E10" s="9">
        <v>12360</v>
      </c>
      <c r="F10" s="11">
        <v>12607.2</v>
      </c>
      <c r="J10" s="45" t="s">
        <v>63</v>
      </c>
      <c r="K10" s="48">
        <v>27</v>
      </c>
    </row>
    <row r="11" spans="1:11" s="10" customFormat="1" x14ac:dyDescent="0.25">
      <c r="A11" s="10" t="s">
        <v>13</v>
      </c>
      <c r="B11" s="10" t="s">
        <v>11</v>
      </c>
      <c r="C11" s="10" t="s">
        <v>6</v>
      </c>
      <c r="D11" s="10" t="s">
        <v>43</v>
      </c>
      <c r="E11" s="9">
        <v>14832</v>
      </c>
      <c r="F11" s="11">
        <v>15128.64</v>
      </c>
      <c r="J11" s="45" t="s">
        <v>65</v>
      </c>
      <c r="K11" s="48">
        <v>30</v>
      </c>
    </row>
    <row r="12" spans="1:11" s="10" customFormat="1" x14ac:dyDescent="0.25">
      <c r="A12" s="10" t="s">
        <v>14</v>
      </c>
      <c r="B12" s="10" t="s">
        <v>11</v>
      </c>
      <c r="C12" s="10" t="s">
        <v>6</v>
      </c>
      <c r="D12" s="10" t="s">
        <v>43</v>
      </c>
      <c r="E12" s="9">
        <v>17798.399999999998</v>
      </c>
      <c r="F12" s="11">
        <v>18154.367999999999</v>
      </c>
      <c r="J12" s="45" t="s">
        <v>66</v>
      </c>
      <c r="K12" s="48">
        <v>30</v>
      </c>
    </row>
    <row r="13" spans="1:11" s="10" customFormat="1" x14ac:dyDescent="0.25">
      <c r="A13" s="10" t="s">
        <v>15</v>
      </c>
      <c r="B13" s="10" t="s">
        <v>16</v>
      </c>
      <c r="C13" s="10" t="s">
        <v>17</v>
      </c>
      <c r="D13" s="10" t="s">
        <v>43</v>
      </c>
      <c r="E13" s="9">
        <v>10400</v>
      </c>
      <c r="F13" s="11">
        <v>10608</v>
      </c>
    </row>
    <row r="14" spans="1:11" s="10" customFormat="1" x14ac:dyDescent="0.25">
      <c r="A14" s="10" t="s">
        <v>18</v>
      </c>
      <c r="B14" s="10" t="s">
        <v>16</v>
      </c>
      <c r="C14" s="10" t="s">
        <v>17</v>
      </c>
      <c r="D14" s="10" t="s">
        <v>43</v>
      </c>
      <c r="E14" s="9">
        <f>F14</f>
        <v>12729.6</v>
      </c>
      <c r="F14" s="11">
        <v>12729.6</v>
      </c>
    </row>
    <row r="15" spans="1:11" s="10" customFormat="1" x14ac:dyDescent="0.25">
      <c r="A15" s="10" t="s">
        <v>19</v>
      </c>
      <c r="B15" s="10" t="s">
        <v>16</v>
      </c>
      <c r="C15" s="10" t="s">
        <v>17</v>
      </c>
      <c r="D15" s="10" t="s">
        <v>43</v>
      </c>
      <c r="E15" s="9">
        <v>14976</v>
      </c>
      <c r="F15" s="11">
        <v>15275.52</v>
      </c>
    </row>
    <row r="16" spans="1:11" s="10" customFormat="1" x14ac:dyDescent="0.25">
      <c r="A16" s="10" t="s">
        <v>20</v>
      </c>
      <c r="B16" s="10" t="s">
        <v>21</v>
      </c>
      <c r="C16" s="10" t="s">
        <v>17</v>
      </c>
      <c r="D16" s="10" t="s">
        <v>43</v>
      </c>
      <c r="E16" s="9">
        <v>20000</v>
      </c>
      <c r="F16" s="11">
        <v>20400</v>
      </c>
    </row>
    <row r="17" spans="1:6" s="10" customFormat="1" x14ac:dyDescent="0.25">
      <c r="A17" s="10" t="s">
        <v>22</v>
      </c>
      <c r="B17" s="10" t="s">
        <v>21</v>
      </c>
      <c r="C17" s="10" t="s">
        <v>17</v>
      </c>
      <c r="D17" s="10" t="s">
        <v>43</v>
      </c>
      <c r="E17" s="9">
        <v>24000</v>
      </c>
      <c r="F17" s="11">
        <v>24480</v>
      </c>
    </row>
    <row r="18" spans="1:6" s="10" customFormat="1" x14ac:dyDescent="0.25">
      <c r="A18" s="10" t="s">
        <v>23</v>
      </c>
      <c r="B18" s="10" t="s">
        <v>21</v>
      </c>
      <c r="C18" s="10" t="s">
        <v>17</v>
      </c>
      <c r="D18" s="10" t="s">
        <v>43</v>
      </c>
      <c r="E18" s="9">
        <v>28800</v>
      </c>
      <c r="F18" s="11">
        <v>29376</v>
      </c>
    </row>
    <row r="19" spans="1:6" s="10" customFormat="1" x14ac:dyDescent="0.25">
      <c r="A19" s="10" t="s">
        <v>24</v>
      </c>
      <c r="B19" s="10" t="s">
        <v>21</v>
      </c>
      <c r="C19" s="10" t="s">
        <v>17</v>
      </c>
      <c r="D19" s="10" t="s">
        <v>43</v>
      </c>
      <c r="E19" s="9">
        <v>34560</v>
      </c>
      <c r="F19" s="11">
        <v>35251.199999999997</v>
      </c>
    </row>
    <row r="20" spans="1:6" s="10" customFormat="1" x14ac:dyDescent="0.25">
      <c r="A20" s="10" t="s">
        <v>25</v>
      </c>
      <c r="B20" s="10" t="s">
        <v>26</v>
      </c>
      <c r="C20" s="10" t="s">
        <v>17</v>
      </c>
      <c r="D20" s="10" t="s">
        <v>43</v>
      </c>
      <c r="E20" s="9">
        <v>41472</v>
      </c>
      <c r="F20" s="11">
        <v>42301.440000000002</v>
      </c>
    </row>
    <row r="21" spans="1:6" s="10" customFormat="1" x14ac:dyDescent="0.25">
      <c r="A21" s="10" t="s">
        <v>27</v>
      </c>
      <c r="B21" s="10" t="s">
        <v>28</v>
      </c>
      <c r="C21" s="10" t="s">
        <v>29</v>
      </c>
      <c r="D21" s="10" t="s">
        <v>43</v>
      </c>
      <c r="E21" s="9">
        <v>49766.400000000001</v>
      </c>
      <c r="F21" s="11">
        <v>50761.728000000003</v>
      </c>
    </row>
    <row r="22" spans="1:6" s="10" customFormat="1" x14ac:dyDescent="0.25">
      <c r="A22" s="10" t="s">
        <v>30</v>
      </c>
      <c r="B22" s="10" t="s">
        <v>28</v>
      </c>
      <c r="C22" s="10" t="s">
        <v>29</v>
      </c>
      <c r="D22" s="10" t="s">
        <v>43</v>
      </c>
      <c r="E22" s="9">
        <v>10500</v>
      </c>
      <c r="F22" s="11">
        <v>10710</v>
      </c>
    </row>
    <row r="23" spans="1:6" s="10" customFormat="1" x14ac:dyDescent="0.25">
      <c r="A23" s="10" t="s">
        <v>31</v>
      </c>
      <c r="B23" s="10" t="s">
        <v>28</v>
      </c>
      <c r="C23" s="10" t="s">
        <v>29</v>
      </c>
      <c r="D23" s="10" t="s">
        <v>43</v>
      </c>
      <c r="E23" s="9">
        <f>F23*1.1</f>
        <v>23731.107840000001</v>
      </c>
      <c r="F23" s="11">
        <v>21573.734399999998</v>
      </c>
    </row>
    <row r="24" spans="1:6" s="10" customFormat="1" x14ac:dyDescent="0.25">
      <c r="A24" s="10" t="s">
        <v>32</v>
      </c>
      <c r="B24" s="10" t="s">
        <v>28</v>
      </c>
      <c r="C24" s="10" t="s">
        <v>29</v>
      </c>
      <c r="D24" s="10" t="s">
        <v>43</v>
      </c>
      <c r="E24" s="9">
        <v>25380.863999999998</v>
      </c>
      <c r="F24" s="11">
        <v>25888.48128</v>
      </c>
    </row>
    <row r="25" spans="1:6" s="10" customFormat="1" x14ac:dyDescent="0.25">
      <c r="A25" s="10" t="s">
        <v>33</v>
      </c>
      <c r="B25" s="10" t="s">
        <v>34</v>
      </c>
      <c r="C25" s="10" t="s">
        <v>29</v>
      </c>
      <c r="D25" s="10" t="s">
        <v>43</v>
      </c>
      <c r="E25" s="9">
        <v>30457.036799999994</v>
      </c>
      <c r="F25" s="11">
        <v>31066.177535999996</v>
      </c>
    </row>
    <row r="26" spans="1:6" s="10" customFormat="1" x14ac:dyDescent="0.25">
      <c r="A26" s="10" t="s">
        <v>35</v>
      </c>
      <c r="B26" s="10" t="s">
        <v>34</v>
      </c>
      <c r="C26" s="10" t="s">
        <v>29</v>
      </c>
      <c r="D26" s="10" t="s">
        <v>43</v>
      </c>
      <c r="E26" s="9">
        <v>10200</v>
      </c>
      <c r="F26" s="11">
        <v>10404</v>
      </c>
    </row>
    <row r="27" spans="1:6" s="10" customFormat="1" x14ac:dyDescent="0.25">
      <c r="A27" s="10" t="s">
        <v>36</v>
      </c>
      <c r="B27" s="10" t="s">
        <v>34</v>
      </c>
      <c r="C27" s="10" t="s">
        <v>29</v>
      </c>
      <c r="D27" s="10" t="s">
        <v>43</v>
      </c>
      <c r="E27" s="9">
        <v>12240</v>
      </c>
      <c r="F27" s="11">
        <v>12484.800000000001</v>
      </c>
    </row>
    <row r="28" spans="1:6" s="10" customFormat="1" x14ac:dyDescent="0.25">
      <c r="A28" s="10" t="s">
        <v>37</v>
      </c>
      <c r="B28" s="10" t="s">
        <v>34</v>
      </c>
      <c r="C28" s="10" t="s">
        <v>29</v>
      </c>
      <c r="D28" s="10" t="s">
        <v>43</v>
      </c>
      <c r="E28" s="9">
        <v>14688</v>
      </c>
      <c r="F28" s="11">
        <v>14981.76</v>
      </c>
    </row>
    <row r="29" spans="1:6" s="10" customFormat="1" x14ac:dyDescent="0.25">
      <c r="A29" s="10" t="s">
        <v>38</v>
      </c>
      <c r="B29" s="10" t="s">
        <v>39</v>
      </c>
      <c r="C29" s="10" t="s">
        <v>29</v>
      </c>
      <c r="D29" s="10" t="s">
        <v>43</v>
      </c>
      <c r="E29" s="9">
        <v>10100</v>
      </c>
      <c r="F29" s="11">
        <v>10302</v>
      </c>
    </row>
    <row r="30" spans="1:6" s="12" customFormat="1" x14ac:dyDescent="0.25">
      <c r="A30" s="12" t="s">
        <v>40</v>
      </c>
      <c r="B30" s="12" t="s">
        <v>39</v>
      </c>
      <c r="C30" s="12" t="s">
        <v>29</v>
      </c>
      <c r="D30" s="12" t="s">
        <v>43</v>
      </c>
      <c r="E30" s="46">
        <v>10300</v>
      </c>
      <c r="F30" s="47">
        <v>10506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Source">
    <tabColor theme="2" tint="-0.499984740745262"/>
  </sheetPr>
  <dimension ref="A1:O26"/>
  <sheetViews>
    <sheetView workbookViewId="0">
      <selection activeCell="E8" sqref="E8"/>
    </sheetView>
  </sheetViews>
  <sheetFormatPr defaultRowHeight="15" x14ac:dyDescent="0.25"/>
  <cols>
    <col min="1" max="1" width="9.85546875" customWidth="1"/>
    <col min="7" max="7" width="2.28515625" customWidth="1"/>
    <col min="8" max="8" width="1.28515625" customWidth="1"/>
    <col min="9" max="9" width="2" customWidth="1"/>
  </cols>
  <sheetData>
    <row r="1" spans="1:14" ht="24.75" customHeight="1" x14ac:dyDescent="0.3">
      <c r="A1" s="7" t="s">
        <v>78</v>
      </c>
      <c r="B1" s="7"/>
      <c r="C1" s="7"/>
      <c r="D1" s="7"/>
      <c r="E1" s="7"/>
      <c r="F1" s="7"/>
    </row>
    <row r="2" spans="1:14" ht="24.75" customHeight="1" x14ac:dyDescent="0.3">
      <c r="A2" s="17" t="s">
        <v>73</v>
      </c>
      <c r="B2" s="8"/>
      <c r="C2" s="8"/>
      <c r="D2" s="8"/>
      <c r="E2" s="8"/>
      <c r="F2" s="8"/>
      <c r="J2" s="17" t="s">
        <v>74</v>
      </c>
    </row>
    <row r="3" spans="1:14" ht="11.25" customHeight="1" x14ac:dyDescent="0.3">
      <c r="B3" s="8"/>
      <c r="C3" s="8"/>
      <c r="D3" s="8"/>
      <c r="E3" s="8"/>
      <c r="F3" s="8"/>
    </row>
    <row r="4" spans="1:14" ht="30" x14ac:dyDescent="0.25">
      <c r="A4" s="3" t="s">
        <v>0</v>
      </c>
      <c r="B4" s="3" t="s">
        <v>1</v>
      </c>
      <c r="C4" s="3" t="s">
        <v>41</v>
      </c>
      <c r="D4" s="3" t="s">
        <v>42</v>
      </c>
      <c r="E4" s="15" t="s">
        <v>76</v>
      </c>
      <c r="G4" s="18"/>
      <c r="H4" s="18"/>
      <c r="I4" s="18"/>
      <c r="J4" s="3" t="s">
        <v>0</v>
      </c>
      <c r="K4" s="3" t="s">
        <v>1</v>
      </c>
      <c r="L4" s="3" t="s">
        <v>41</v>
      </c>
      <c r="M4" s="3" t="s">
        <v>42</v>
      </c>
      <c r="N4" s="15" t="s">
        <v>76</v>
      </c>
    </row>
    <row r="5" spans="1:14" x14ac:dyDescent="0.25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  <c r="J5" t="s">
        <v>4</v>
      </c>
      <c r="K5" t="s">
        <v>5</v>
      </c>
      <c r="L5" s="4">
        <v>10200</v>
      </c>
      <c r="M5" s="5">
        <v>10404</v>
      </c>
      <c r="N5" s="16">
        <f>L5/M5-1</f>
        <v>-1.9607843137254943E-2</v>
      </c>
    </row>
    <row r="6" spans="1:14" x14ac:dyDescent="0.25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  <c r="J6" t="s">
        <v>7</v>
      </c>
      <c r="K6" t="s">
        <v>5</v>
      </c>
      <c r="L6" s="4">
        <v>12240</v>
      </c>
      <c r="M6" s="5">
        <v>12484.800000000001</v>
      </c>
      <c r="N6" s="16">
        <f t="shared" ref="N6:N10" si="1">L6/M6-1</f>
        <v>-1.9607843137254943E-2</v>
      </c>
    </row>
    <row r="7" spans="1:14" x14ac:dyDescent="0.25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  <c r="J7" t="s">
        <v>8</v>
      </c>
      <c r="K7" t="s">
        <v>5</v>
      </c>
      <c r="L7" s="4">
        <v>14688</v>
      </c>
      <c r="M7" s="5">
        <v>14981.76</v>
      </c>
      <c r="N7" s="16">
        <f t="shared" si="1"/>
        <v>-1.9607843137254943E-2</v>
      </c>
    </row>
    <row r="8" spans="1:14" x14ac:dyDescent="0.2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6">
        <f t="shared" si="1"/>
        <v>0.10000000000000009</v>
      </c>
    </row>
    <row r="9" spans="1:14" x14ac:dyDescent="0.25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  <c r="J9" t="s">
        <v>10</v>
      </c>
      <c r="K9" t="s">
        <v>11</v>
      </c>
      <c r="L9" s="4">
        <v>10300</v>
      </c>
      <c r="M9" s="5">
        <v>10506</v>
      </c>
      <c r="N9" s="16">
        <f t="shared" si="1"/>
        <v>-1.9607843137254943E-2</v>
      </c>
    </row>
    <row r="10" spans="1:14" x14ac:dyDescent="0.25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  <c r="J10" t="s">
        <v>12</v>
      </c>
      <c r="K10" t="s">
        <v>11</v>
      </c>
      <c r="L10" s="4">
        <v>12360</v>
      </c>
      <c r="M10" s="5">
        <v>12607.2</v>
      </c>
      <c r="N10" s="16">
        <f t="shared" si="1"/>
        <v>-1.9607843137254943E-2</v>
      </c>
    </row>
    <row r="11" spans="1:14" x14ac:dyDescent="0.25">
      <c r="G11" s="18"/>
      <c r="H11" s="18"/>
      <c r="I11" s="18"/>
    </row>
    <row r="12" spans="1:14" x14ac:dyDescent="0.25">
      <c r="G12" s="18"/>
      <c r="H12" s="18"/>
      <c r="I12" s="18"/>
    </row>
    <row r="13" spans="1:14" x14ac:dyDescent="0.25">
      <c r="G13" s="18"/>
      <c r="H13" s="18"/>
      <c r="I13" s="18"/>
    </row>
    <row r="14" spans="1:14" x14ac:dyDescent="0.25">
      <c r="G14" s="18"/>
      <c r="H14" s="18"/>
      <c r="I14" s="18"/>
    </row>
    <row r="15" spans="1:14" x14ac:dyDescent="0.25">
      <c r="G15" s="18"/>
      <c r="H15" s="18"/>
      <c r="I15" s="18"/>
    </row>
    <row r="16" spans="1:14" x14ac:dyDescent="0.25">
      <c r="A16" s="10"/>
      <c r="B16" s="10"/>
      <c r="C16" s="10"/>
      <c r="D16" s="10"/>
      <c r="E16" s="10"/>
      <c r="F16" s="10"/>
      <c r="G16" s="18"/>
      <c r="H16" s="18"/>
      <c r="I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7" t="s">
        <v>77</v>
      </c>
      <c r="G18" s="18"/>
      <c r="H18" s="18"/>
      <c r="I18" s="18"/>
      <c r="J18" s="17" t="s">
        <v>75</v>
      </c>
    </row>
    <row r="19" spans="1:15" x14ac:dyDescent="0.25">
      <c r="G19" s="18"/>
      <c r="H19" s="18"/>
      <c r="I19" s="18"/>
    </row>
    <row r="20" spans="1:15" x14ac:dyDescent="0.25">
      <c r="A20" t="s">
        <v>4</v>
      </c>
      <c r="B20" t="s">
        <v>5</v>
      </c>
      <c r="C20" s="5">
        <v>10200</v>
      </c>
      <c r="D20" s="5">
        <v>10404</v>
      </c>
      <c r="E20" s="49">
        <v>-1.9607843137254943E-2</v>
      </c>
      <c r="J20" t="s">
        <v>0</v>
      </c>
      <c r="K20" t="s">
        <v>1</v>
      </c>
      <c r="L20" t="s">
        <v>41</v>
      </c>
      <c r="M20" t="s">
        <v>42</v>
      </c>
      <c r="N20" t="s">
        <v>76</v>
      </c>
    </row>
    <row r="21" spans="1:15" x14ac:dyDescent="0.25">
      <c r="A21" t="s">
        <v>7</v>
      </c>
      <c r="B21" t="s">
        <v>5</v>
      </c>
      <c r="C21" s="5">
        <v>12240</v>
      </c>
      <c r="D21" s="5">
        <v>12484.800000000001</v>
      </c>
      <c r="E21" s="49">
        <v>-1.9607843137254943E-2</v>
      </c>
      <c r="J21" t="s">
        <v>4</v>
      </c>
      <c r="K21" t="s">
        <v>5</v>
      </c>
      <c r="L21" s="5">
        <v>10200</v>
      </c>
      <c r="M21" s="5">
        <v>10404</v>
      </c>
      <c r="N21" s="49">
        <v>-1.9607843137254943E-2</v>
      </c>
    </row>
    <row r="22" spans="1:15" x14ac:dyDescent="0.25">
      <c r="A22" t="s">
        <v>8</v>
      </c>
      <c r="B22" t="s">
        <v>5</v>
      </c>
      <c r="C22" s="5">
        <v>14688</v>
      </c>
      <c r="D22" s="5">
        <v>14981.76</v>
      </c>
      <c r="E22" s="49">
        <v>-1.9607843137254943E-2</v>
      </c>
      <c r="J22" t="s">
        <v>7</v>
      </c>
      <c r="K22" t="s">
        <v>5</v>
      </c>
      <c r="L22" s="5">
        <v>12240</v>
      </c>
      <c r="M22" s="5">
        <v>12484.800000000001</v>
      </c>
      <c r="N22" s="49">
        <v>-1.9607843137254943E-2</v>
      </c>
    </row>
    <row r="23" spans="1:15" x14ac:dyDescent="0.25">
      <c r="A23" t="s">
        <v>9</v>
      </c>
      <c r="B23" t="s">
        <v>5</v>
      </c>
      <c r="C23" s="5">
        <v>19775.923199999997</v>
      </c>
      <c r="D23" s="5">
        <v>17978.111999999997</v>
      </c>
      <c r="E23" s="49">
        <v>0.10000000000000009</v>
      </c>
      <c r="J23" t="s">
        <v>8</v>
      </c>
      <c r="K23" t="s">
        <v>5</v>
      </c>
      <c r="L23" s="5">
        <v>14688</v>
      </c>
      <c r="M23" s="5">
        <v>14981.76</v>
      </c>
      <c r="N23" s="49">
        <v>-1.9607843137254943E-2</v>
      </c>
    </row>
    <row r="24" spans="1:15" x14ac:dyDescent="0.25">
      <c r="A24" t="s">
        <v>10</v>
      </c>
      <c r="B24" t="s">
        <v>11</v>
      </c>
      <c r="C24" s="5">
        <v>10300</v>
      </c>
      <c r="D24" s="5">
        <v>10506</v>
      </c>
      <c r="E24" s="49">
        <v>-1.9607843137254943E-2</v>
      </c>
      <c r="J24" t="s">
        <v>9</v>
      </c>
      <c r="K24" t="s">
        <v>5</v>
      </c>
      <c r="L24" s="5">
        <v>19775.923199999997</v>
      </c>
      <c r="M24" s="5">
        <v>17978.111999999997</v>
      </c>
      <c r="N24" s="49">
        <v>0.10000000000000009</v>
      </c>
    </row>
    <row r="25" spans="1:15" x14ac:dyDescent="0.25">
      <c r="A25" t="s">
        <v>12</v>
      </c>
      <c r="B25" t="s">
        <v>11</v>
      </c>
      <c r="C25" s="5">
        <v>12360</v>
      </c>
      <c r="D25" s="5">
        <v>12607.2</v>
      </c>
      <c r="E25" s="49">
        <v>-1.9607843137254943E-2</v>
      </c>
      <c r="J25" t="s">
        <v>10</v>
      </c>
      <c r="K25" t="s">
        <v>11</v>
      </c>
      <c r="L25" s="5">
        <v>10300</v>
      </c>
      <c r="M25" s="5">
        <v>10506</v>
      </c>
      <c r="N25" s="49">
        <v>-1.9607843137254943E-2</v>
      </c>
    </row>
    <row r="26" spans="1:15" x14ac:dyDescent="0.25">
      <c r="J26" t="s">
        <v>12</v>
      </c>
      <c r="K26" t="s">
        <v>11</v>
      </c>
      <c r="L26" s="5">
        <v>12360</v>
      </c>
      <c r="M26" s="5">
        <v>12607.2</v>
      </c>
      <c r="N26" s="49">
        <v>-1.9607843137254943E-2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est">
    <tabColor theme="2" tint="-0.499984740745262"/>
  </sheetPr>
  <dimension ref="A1:F1"/>
  <sheetViews>
    <sheetView tabSelected="1" workbookViewId="0">
      <selection activeCell="D13" sqref="D13"/>
    </sheetView>
  </sheetViews>
  <sheetFormatPr defaultRowHeight="15" x14ac:dyDescent="0.25"/>
  <sheetData>
    <row r="1" spans="1:6" ht="18.75" x14ac:dyDescent="0.3">
      <c r="A1" s="7" t="s">
        <v>80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499984740745262"/>
  </sheetPr>
  <dimension ref="A1:F6"/>
  <sheetViews>
    <sheetView workbookViewId="0">
      <selection activeCell="I9" sqref="I9"/>
    </sheetView>
  </sheetViews>
  <sheetFormatPr defaultRowHeight="15" x14ac:dyDescent="0.25"/>
  <sheetData>
    <row r="1" spans="1:6" ht="18.75" x14ac:dyDescent="0.3">
      <c r="A1" s="7" t="s">
        <v>110</v>
      </c>
      <c r="B1" s="7"/>
      <c r="C1" s="7"/>
      <c r="D1" s="7"/>
      <c r="E1" s="7"/>
      <c r="F1" s="7"/>
    </row>
    <row r="3" spans="1:6" x14ac:dyDescent="0.25">
      <c r="A3" t="s">
        <v>112</v>
      </c>
    </row>
    <row r="4" spans="1:6" x14ac:dyDescent="0.25">
      <c r="A4" t="s">
        <v>111</v>
      </c>
    </row>
    <row r="6" spans="1:6" x14ac:dyDescent="0.25">
      <c r="A6" t="s">
        <v>113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J16"/>
  <sheetViews>
    <sheetView workbookViewId="0">
      <selection activeCell="B16" sqref="B16"/>
    </sheetView>
  </sheetViews>
  <sheetFormatPr defaultRowHeight="15" x14ac:dyDescent="0.25"/>
  <sheetData>
    <row r="1" spans="1:10" ht="18.75" x14ac:dyDescent="0.3">
      <c r="A1" s="7" t="s">
        <v>119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25">
      <c r="A3" t="s">
        <v>81</v>
      </c>
    </row>
    <row r="4" spans="1:10" x14ac:dyDescent="0.25">
      <c r="A4" t="s">
        <v>82</v>
      </c>
    </row>
    <row r="5" spans="1:10" x14ac:dyDescent="0.25">
      <c r="A5" t="s">
        <v>86</v>
      </c>
    </row>
    <row r="6" spans="1:10" x14ac:dyDescent="0.25">
      <c r="A6" t="s">
        <v>87</v>
      </c>
    </row>
    <row r="8" spans="1:10" x14ac:dyDescent="0.25">
      <c r="B8">
        <v>1</v>
      </c>
      <c r="C8" t="s">
        <v>83</v>
      </c>
    </row>
    <row r="9" spans="1:10" x14ac:dyDescent="0.25">
      <c r="B9">
        <v>2</v>
      </c>
      <c r="C9" t="s">
        <v>84</v>
      </c>
    </row>
    <row r="10" spans="1:10" x14ac:dyDescent="0.25">
      <c r="B10">
        <v>3</v>
      </c>
      <c r="C10" t="s">
        <v>85</v>
      </c>
    </row>
    <row r="11" spans="1:10" x14ac:dyDescent="0.25">
      <c r="B11">
        <v>4</v>
      </c>
      <c r="C11" t="s">
        <v>88</v>
      </c>
    </row>
    <row r="12" spans="1:10" x14ac:dyDescent="0.25">
      <c r="B12" s="13" t="s">
        <v>89</v>
      </c>
      <c r="C12" t="s">
        <v>90</v>
      </c>
    </row>
    <row r="13" spans="1:10" x14ac:dyDescent="0.25">
      <c r="B13" t="s">
        <v>91</v>
      </c>
      <c r="C13" t="s">
        <v>92</v>
      </c>
    </row>
    <row r="16" spans="1:10" x14ac:dyDescent="0.25">
      <c r="B16" s="20" t="s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ADNET</cp:lastModifiedBy>
  <cp:lastPrinted>2018-01-09T07:52:09Z</cp:lastPrinted>
  <dcterms:created xsi:type="dcterms:W3CDTF">2018-01-01T10:19:59Z</dcterms:created>
  <dcterms:modified xsi:type="dcterms:W3CDTF">2021-03-15T05:27:12Z</dcterms:modified>
</cp:coreProperties>
</file>